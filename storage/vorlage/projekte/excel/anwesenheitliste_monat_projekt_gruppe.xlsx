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xampp\htdocs\zbb\storage\vorlage\projekte\excel\"/>
    </mc:Choice>
  </mc:AlternateContent>
  <bookViews>
    <workbookView xWindow="240" yWindow="315" windowWidth="14955" windowHeight="8955" tabRatio="127"/>
  </bookViews>
  <sheets>
    <sheet name="Anwesenheit" sheetId="33" r:id="rId1"/>
  </sheets>
  <definedNames>
    <definedName name="_xlnm.Print_Titles" localSheetId="0">Anwesenheit!$A:$H</definedName>
  </definedNames>
  <calcPr calcId="162913"/>
</workbook>
</file>

<file path=xl/calcChain.xml><?xml version="1.0" encoding="utf-8"?>
<calcChain xmlns="http://schemas.openxmlformats.org/spreadsheetml/2006/main">
  <c r="BA5" i="33" l="1"/>
  <c r="AZ5" i="33"/>
  <c r="AY5" i="33"/>
  <c r="AX5" i="33"/>
  <c r="BB5" i="33" s="1"/>
  <c r="AT5" i="33"/>
  <c r="AS5" i="33"/>
  <c r="AR5" i="33"/>
  <c r="BA4" i="33"/>
  <c r="AZ4" i="33"/>
  <c r="AY4" i="33"/>
  <c r="AX4" i="33"/>
  <c r="BB4" i="33" s="1"/>
  <c r="AT4" i="33"/>
  <c r="AS4" i="33"/>
  <c r="AR4" i="33"/>
  <c r="AT3" i="33"/>
  <c r="AS3" i="33"/>
  <c r="AZ3" i="33"/>
  <c r="AX3" i="33"/>
  <c r="BB3" i="33" s="1"/>
  <c r="BB7" i="33" s="1"/>
  <c r="BA3" i="33"/>
  <c r="AY3" i="33"/>
  <c r="AU1" i="33"/>
  <c r="AS1" i="33"/>
  <c r="AR3" i="33"/>
</calcChain>
</file>

<file path=xl/sharedStrings.xml><?xml version="1.0" encoding="utf-8"?>
<sst xmlns="http://schemas.openxmlformats.org/spreadsheetml/2006/main" count="76" uniqueCount="56">
  <si>
    <t>Anwesenheitsliste</t>
  </si>
  <si>
    <t>Fehl- tage</t>
  </si>
  <si>
    <t xml:space="preserve"> Monat </t>
  </si>
  <si>
    <t>LfdNr</t>
  </si>
  <si>
    <t>A-Quote</t>
  </si>
  <si>
    <t>F-Quote</t>
  </si>
  <si>
    <t>Anmerkung: die Anwesenheitsquote beinhaltet die Anzahl der As und Us</t>
  </si>
  <si>
    <t>Anmerkungen</t>
  </si>
  <si>
    <t>kk=Kind krank - A=Anwesend - U=Urlaub - F=Fehltag -  E=telefonische Krankmeldung - K =Krank - MA =Ausgleich Mehrarbeit</t>
  </si>
  <si>
    <t>Stunden gesamt</t>
  </si>
  <si>
    <t>Soll-Std. pro Tag</t>
  </si>
  <si>
    <t>F</t>
  </si>
  <si>
    <t>K</t>
  </si>
  <si>
    <t>U</t>
  </si>
  <si>
    <t>A</t>
  </si>
  <si>
    <t>JC-Mitarbeitende</t>
  </si>
  <si>
    <t>ZBB-Betreuung</t>
  </si>
  <si>
    <t>KD-Nr</t>
  </si>
  <si>
    <t>geb. Datum</t>
  </si>
  <si>
    <t>Eintritt
Zuweisung</t>
  </si>
  <si>
    <t>Austritt
Zuweisung</t>
  </si>
  <si>
    <t>tatsächlicher
Austritt</t>
  </si>
  <si>
    <t>Name, Vorname</t>
  </si>
  <si>
    <t>ZBB gGmbH Sauberkeit II (Quartier Richard-Wagner-Straße)</t>
  </si>
  <si>
    <t>Sa</t>
  </si>
  <si>
    <t>So</t>
  </si>
  <si>
    <t>Kreber Janine</t>
  </si>
  <si>
    <t>Zimmer Joachim</t>
  </si>
  <si>
    <t>E</t>
  </si>
  <si>
    <t>Legende</t>
  </si>
  <si>
    <t>KG</t>
  </si>
  <si>
    <t>=</t>
  </si>
  <si>
    <t>Kontaktgespräch</t>
  </si>
  <si>
    <t>VZ</t>
  </si>
  <si>
    <t>Verspätete Zuweisung</t>
  </si>
  <si>
    <t>WF</t>
  </si>
  <si>
    <t>Wohnadresse falsch</t>
  </si>
  <si>
    <t>HZ</t>
  </si>
  <si>
    <t>Hausbesuch zurückgestellt</t>
  </si>
  <si>
    <t>HB</t>
  </si>
  <si>
    <t>Hausbesuch</t>
  </si>
  <si>
    <t>Anwesend</t>
  </si>
  <si>
    <t>Krank</t>
  </si>
  <si>
    <t>KK</t>
  </si>
  <si>
    <t>Kind krank</t>
  </si>
  <si>
    <t>Urlaub</t>
  </si>
  <si>
    <t>Entschuldigt</t>
  </si>
  <si>
    <t>Fehlt unentschuldigt</t>
  </si>
  <si>
    <t>Kontaktinfo ZBB-Mitarbeitende</t>
  </si>
  <si>
    <t>Name</t>
  </si>
  <si>
    <t>Telefon</t>
  </si>
  <si>
    <t>E-Mail</t>
  </si>
  <si>
    <t>0681 94757 117</t>
  </si>
  <si>
    <t>j.kreber@zbb-saar.de</t>
  </si>
  <si>
    <t>0681 94757 128</t>
  </si>
  <si>
    <t>j.zimmer@zbb-saar.de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</si>
</sst>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7]mmm/\ yy;@"/>
    <numFmt numFmtId="165" formatCode="#,##0.00\ &quot;€&quot;"/>
  </numFmts>
  <fonts count="7" x14ac:knownFonts="1">
    <font>
      <sz val="10"/>
      <name val="Arial"/>
    </font>
    <font>
      <sz val="16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sz val="8"/>
      <name val="Arial"/>
      <family val="2"/>
    </font>
    <font>
      <sz val="8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 applyProtection="1">
      <protection locked="0" hidden="1"/>
    </xf>
    <xf numFmtId="2" fontId="0" fillId="0" borderId="0" xfId="0" applyNumberFormat="1" applyAlignment="1" applyProtection="1">
      <alignment wrapText="1"/>
      <protection hidden="1"/>
    </xf>
    <xf numFmtId="2" fontId="0" fillId="0" borderId="0" xfId="0" applyNumberFormat="1" applyProtection="1">
      <protection hidden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5" fillId="2" borderId="1" xfId="0" applyFont="1" applyFill="1" applyBorder="1" applyProtection="1">
      <protection locked="0"/>
    </xf>
    <xf numFmtId="0" fontId="5" fillId="0" borderId="0" xfId="0" applyFont="1"/>
    <xf numFmtId="0" fontId="0" fillId="0" borderId="0" xfId="0" applyBorder="1" applyProtection="1">
      <protection locked="0"/>
    </xf>
    <xf numFmtId="0" fontId="0" fillId="0" borderId="0" xfId="0" applyBorder="1"/>
    <xf numFmtId="0" fontId="4" fillId="0" borderId="0" xfId="0" applyFont="1" applyBorder="1" applyProtection="1">
      <protection locked="0"/>
    </xf>
    <xf numFmtId="2" fontId="4" fillId="0" borderId="0" xfId="0" applyNumberFormat="1" applyFont="1" applyBorder="1" applyProtection="1">
      <protection hidden="1"/>
    </xf>
    <xf numFmtId="164" fontId="2" fillId="0" borderId="0" xfId="0" applyNumberFormat="1" applyFont="1" applyBorder="1" applyAlignment="1" applyProtection="1">
      <alignment horizontal="center"/>
      <protection locked="0"/>
    </xf>
    <xf numFmtId="0" fontId="4" fillId="0" borderId="2" xfId="0" applyNumberFormat="1" applyFont="1" applyBorder="1" applyAlignment="1" applyProtection="1">
      <alignment horizontal="left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5" fillId="0" borderId="1" xfId="0" applyNumberFormat="1" applyFont="1" applyFill="1" applyBorder="1" applyAlignment="1" applyProtection="1">
      <alignment horizontal="center" wrapText="1"/>
      <protection locked="0"/>
    </xf>
    <xf numFmtId="1" fontId="6" fillId="0" borderId="1" xfId="0" applyNumberFormat="1" applyFont="1" applyBorder="1" applyAlignment="1" applyProtection="1">
      <alignment horizontal="center"/>
    </xf>
    <xf numFmtId="0" fontId="5" fillId="0" borderId="1" xfId="0" applyFont="1" applyBorder="1"/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 applyProtection="1">
      <alignment horizontal="center"/>
      <protection locked="0"/>
    </xf>
    <xf numFmtId="2" fontId="4" fillId="2" borderId="1" xfId="0" applyNumberFormat="1" applyFont="1" applyFill="1" applyBorder="1" applyAlignment="1" applyProtection="1">
      <alignment horizontal="center" wrapText="1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0" fillId="0" borderId="0" xfId="0" applyNumberFormat="1"/>
    <xf numFmtId="0" fontId="5" fillId="2" borderId="3" xfId="0" applyFont="1" applyFill="1" applyBorder="1" applyAlignment="1" applyProtection="1">
      <alignment horizontal="left" wrapText="1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NumberFormat="1" applyFont="1" applyFill="1" applyBorder="1" applyAlignment="1" applyProtection="1">
      <alignment horizontal="center" wrapText="1"/>
      <protection locked="0"/>
    </xf>
    <xf numFmtId="0" fontId="0" fillId="0" borderId="0" xfId="0" quotePrefix="1"/>
    <xf numFmtId="0" fontId="5" fillId="2" borderId="4" xfId="0" applyFont="1" applyFill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2" fillId="0" borderId="2" xfId="0" applyNumberFormat="1" applyFont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left"/>
      <protection locked="0"/>
    </xf>
    <xf numFmtId="164" fontId="4" fillId="0" borderId="2" xfId="0" applyNumberFormat="1" applyFont="1" applyBorder="1" applyAlignment="1" applyProtection="1">
      <alignment horizontal="left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8"/>
  <sheetViews>
    <sheetView tabSelected="1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B3" sqref="B3:G3"/>
    </sheetView>
  </sheetViews>
  <sheetFormatPr baseColWidth="10" defaultColWidth="3.85546875" defaultRowHeight="23.1" customHeight="1" x14ac:dyDescent="0.2"/>
  <cols>
    <col min="1" max="1" width="4.85546875" bestFit="1" customWidth="1"/>
    <col min="2" max="6" width="3.85546875" customWidth="1"/>
    <col min="7" max="7" width="4.7109375" customWidth="1"/>
    <col min="8" max="8" width="9.5703125" bestFit="1" customWidth="1"/>
    <col min="9" max="12" width="9.5703125" customWidth="1"/>
    <col min="13" max="43" width="3.28515625" customWidth="1"/>
    <col min="44" max="44" width="4" style="4" bestFit="1" customWidth="1"/>
    <col min="45" max="46" width="5.85546875" bestFit="1" customWidth="1"/>
    <col min="47" max="47" width="21.42578125" customWidth="1"/>
    <col min="48" max="48" width="6.7109375" bestFit="1" customWidth="1"/>
    <col min="49" max="49" width="7.7109375" customWidth="1"/>
    <col min="54" max="54" width="6.140625" bestFit="1" customWidth="1"/>
    <col min="55" max="56" width="35.140625" customWidth="1"/>
  </cols>
  <sheetData>
    <row r="1" spans="1:56" s="1" customFormat="1" ht="27" customHeight="1" x14ac:dyDescent="0.3">
      <c r="B1" s="5" t="s">
        <v>0</v>
      </c>
      <c r="O1" s="6" t="s">
        <v>2</v>
      </c>
      <c r="R1" s="7"/>
      <c r="S1" s="35">
        <v>45901</v>
      </c>
      <c r="T1" s="35"/>
      <c r="U1" s="35"/>
      <c r="V1" s="35"/>
      <c r="W1" s="35"/>
      <c r="X1" s="35"/>
      <c r="Y1" s="6"/>
      <c r="AA1" s="6" t="s">
        <v>23</v>
      </c>
      <c r="AR1" s="2"/>
      <c r="AS1" s="37">
        <f>S1</f>
        <v>45901</v>
      </c>
      <c r="AT1" s="37"/>
      <c r="AU1" s="15" t="str">
        <f>AA1</f>
        <v>ZBB gGmbH Sauberkeit II (Quartier Richard-Wagner-Straße)</v>
      </c>
      <c r="AV1" s="14"/>
    </row>
    <row r="2" spans="1:56" s="9" customFormat="1" ht="23.1" customHeight="1" x14ac:dyDescent="0.2">
      <c r="A2" s="8" t="s">
        <v>3</v>
      </c>
      <c r="B2" s="32" t="s">
        <v>22</v>
      </c>
      <c r="C2" s="33"/>
      <c r="D2" s="33"/>
      <c r="E2" s="33"/>
      <c r="F2" s="33"/>
      <c r="G2" s="34"/>
      <c r="H2" s="16" t="s">
        <v>17</v>
      </c>
      <c r="I2" s="16" t="s">
        <v>18</v>
      </c>
      <c r="J2" s="28" t="s">
        <v>19</v>
      </c>
      <c r="K2" s="28" t="s">
        <v>20</v>
      </c>
      <c r="L2" s="28" t="s">
        <v>21</v>
      </c>
      <c r="M2" s="22">
        <v>1</v>
      </c>
      <c r="N2" s="22">
        <v>2</v>
      </c>
      <c r="O2" s="22">
        <v>3</v>
      </c>
      <c r="P2" s="22">
        <v>4</v>
      </c>
      <c r="Q2" s="22">
        <v>5</v>
      </c>
      <c r="R2" s="29" t="s">
        <v>24</v>
      </c>
      <c r="S2" s="29" t="s">
        <v>25</v>
      </c>
      <c r="T2" s="22">
        <v>8</v>
      </c>
      <c r="U2" s="22">
        <v>9</v>
      </c>
      <c r="V2" s="22">
        <v>10</v>
      </c>
      <c r="W2" s="22">
        <v>11</v>
      </c>
      <c r="X2" s="22">
        <v>12</v>
      </c>
      <c r="Y2" s="29" t="s">
        <v>24</v>
      </c>
      <c r="Z2" s="29" t="s">
        <v>25</v>
      </c>
      <c r="AA2" s="22">
        <v>15</v>
      </c>
      <c r="AB2" s="22">
        <v>16</v>
      </c>
      <c r="AC2" s="22">
        <v>17</v>
      </c>
      <c r="AD2" s="22">
        <v>18</v>
      </c>
      <c r="AE2" s="22">
        <v>19</v>
      </c>
      <c r="AF2" s="29" t="s">
        <v>24</v>
      </c>
      <c r="AG2" s="29" t="s">
        <v>25</v>
      </c>
      <c r="AH2" s="22">
        <v>22</v>
      </c>
      <c r="AI2" s="22">
        <v>23</v>
      </c>
      <c r="AJ2" s="22">
        <v>24</v>
      </c>
      <c r="AK2" s="22">
        <v>25</v>
      </c>
      <c r="AL2" s="22">
        <v>26</v>
      </c>
      <c r="AM2" s="29" t="s">
        <v>24</v>
      </c>
      <c r="AN2" s="29" t="s">
        <v>25</v>
      </c>
      <c r="AO2" s="22">
        <v>29</v>
      </c>
      <c r="AP2" s="22">
        <v>30</v>
      </c>
      <c r="AQ2" s="23">
        <v>31</v>
      </c>
      <c r="AR2" s="24" t="s">
        <v>1</v>
      </c>
      <c r="AS2" s="24" t="s">
        <v>4</v>
      </c>
      <c r="AT2" s="24" t="s">
        <v>5</v>
      </c>
      <c r="AU2" s="24" t="s">
        <v>7</v>
      </c>
      <c r="AV2" s="24" t="s">
        <v>9</v>
      </c>
      <c r="AW2" s="24" t="s">
        <v>10</v>
      </c>
      <c r="AX2" s="24" t="s">
        <v>11</v>
      </c>
      <c r="AY2" s="24" t="s">
        <v>12</v>
      </c>
      <c r="AZ2" s="24" t="s">
        <v>13</v>
      </c>
      <c r="BA2" s="24" t="s">
        <v>14</v>
      </c>
      <c r="BB2" s="24"/>
      <c r="BC2" s="24" t="s">
        <v>15</v>
      </c>
      <c r="BD2" s="24" t="s">
        <v>16</v>
      </c>
    </row>
    <row r="3" spans="1:56" s="9" customFormat="1" ht="15" customHeight="1" x14ac:dyDescent="0.2">
      <c r="A3" s="17">
        <v>1</v>
      </c>
      <c r="B3" s="36"/>
      <c r="C3" s="36"/>
      <c r="D3" s="36"/>
      <c r="E3" s="36"/>
      <c r="F3" s="36"/>
      <c r="G3" s="36"/>
      <c r="H3" s="18"/>
      <c r="I3" s="18"/>
      <c r="J3" s="18"/>
      <c r="K3" s="18"/>
      <c r="L3" s="18"/>
      <c r="M3" s="1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20">
        <f>COUNTIF(M3:AQ3,"f")</f>
        <v>0</v>
      </c>
      <c r="AS3" s="21" t="str">
        <f>IF(COUNTIF(M3:AQ3,"*")&gt;0,(COUNTIF(M3:AQ3,"A")+COUNTIF(M3:AQ3,"U"))*100/COUNTIF(M3:AQ3,"*"),"")</f>
        <v/>
      </c>
      <c r="AT3" s="21" t="str">
        <f>IF(COUNTIF(M3:AQ3,"*")&gt;0,COUNTIF(M3:AQ3,"F")*100/COUNTIF(M3:AQ3,"*"),"")</f>
        <v/>
      </c>
      <c r="AU3" s="21"/>
      <c r="AV3" s="21"/>
      <c r="AW3" s="21"/>
      <c r="AX3" s="25">
        <f>COUNTIF(M3:AQ3,"f")+(COUNTIF(M3:AQ3,"f 0,5")/2)</f>
        <v>0</v>
      </c>
      <c r="AY3" s="25">
        <f>COUNTIF(M3:AQ3,"k")</f>
        <v>0</v>
      </c>
      <c r="AZ3" s="25">
        <f>COUNTIF(M3:AQ3,"U")+(COUNTIF(M3:AQ3,"u 0,5")/2)</f>
        <v>0</v>
      </c>
      <c r="BA3" s="25">
        <f>COUNTIF(M3:AQ3,"A")</f>
        <v>0</v>
      </c>
      <c r="BB3" s="26">
        <f>$BB$2/21*AX3</f>
        <v>0</v>
      </c>
      <c r="BC3" s="21"/>
      <c r="BD3" s="21"/>
    </row>
    <row r="4" spans="1:56" s="9" customFormat="1" ht="15" customHeight="1" x14ac:dyDescent="0.2">
      <c r="A4" s="17">
        <v>2</v>
      </c>
      <c r="B4" s="36"/>
      <c r="C4" s="36"/>
      <c r="D4" s="36"/>
      <c r="E4" s="36"/>
      <c r="F4" s="36"/>
      <c r="G4" s="36"/>
      <c r="H4" s="18"/>
      <c r="I4" s="18"/>
      <c r="J4" s="18"/>
      <c r="K4" s="18"/>
      <c r="L4" s="18"/>
      <c r="M4" s="19"/>
      <c r="N4" s="19"/>
      <c r="O4" s="19"/>
      <c r="P4" s="19"/>
      <c r="Q4" s="19"/>
      <c r="R4" s="30"/>
      <c r="S4" s="30"/>
      <c r="T4" s="19"/>
      <c r="U4" s="19"/>
      <c r="V4" s="19"/>
      <c r="W4" s="19"/>
      <c r="X4" s="19"/>
      <c r="Y4" s="30"/>
      <c r="Z4" s="30"/>
      <c r="AA4" s="19"/>
      <c r="AB4" s="19"/>
      <c r="AC4" s="19"/>
      <c r="AD4" s="19"/>
      <c r="AE4" s="19"/>
      <c r="AF4" s="30"/>
      <c r="AG4" s="30"/>
      <c r="AH4" s="19"/>
      <c r="AI4" s="19"/>
      <c r="AJ4" s="19"/>
      <c r="AK4" s="19"/>
      <c r="AL4" s="19"/>
      <c r="AM4" s="30"/>
      <c r="AN4" s="30"/>
      <c r="AO4" s="19"/>
      <c r="AP4" s="19"/>
      <c r="AQ4" s="30"/>
      <c r="AR4" s="20">
        <f>COUNTIF(M4:AQ4,"f")</f>
        <v>0</v>
      </c>
      <c r="AS4" s="21" t="str">
        <f>IF(COUNTIF(M4:AQ4,"*")&gt;0,(COUNTIF(M4:AQ4,"A")+COUNTIF(M4:AQ4,"U"))*100/COUNTIF(M4:AQ4,"*"),"")</f>
        <v/>
      </c>
      <c r="AT4" s="21" t="str">
        <f>IF(COUNTIF(M4:AQ4,"*")&gt;0,COUNTIF(M4:AQ4,"F")*100/COUNTIF(M4:AQ4,"*"),"")</f>
        <v/>
      </c>
      <c r="AU4" s="21"/>
      <c r="AV4" s="21"/>
      <c r="AW4" s="21"/>
      <c r="AX4" s="25">
        <f>COUNTIF(M4:AQ4,"f")+(COUNTIF(M4:AQ4,"f 0,5")/2)</f>
        <v>0</v>
      </c>
      <c r="AY4" s="25">
        <f>COUNTIF(M4:AQ4,"k")</f>
        <v>0</v>
      </c>
      <c r="AZ4" s="25">
        <f>COUNTIF(M4:AQ4,"U")+(COUNTIF(M4:AQ4,"u 0,5")/2)</f>
        <v>0</v>
      </c>
      <c r="BA4" s="25">
        <f>COUNTIF(M4:AQ4,"A")</f>
        <v>0</v>
      </c>
      <c r="BB4" s="26">
        <f>$BB$2/21*AX4</f>
        <v>0</v>
      </c>
      <c r="BC4" s="21"/>
      <c r="BD4" s="21"/>
    </row>
    <row r="5" spans="1:56" s="9" customFormat="1" ht="15" customHeight="1" x14ac:dyDescent="0.2">
      <c r="A5" s="17">
        <v>3</v>
      </c>
      <c r="B5" s="36"/>
      <c r="C5" s="36"/>
      <c r="D5" s="36"/>
      <c r="E5" s="36"/>
      <c r="F5" s="36"/>
      <c r="G5" s="36"/>
      <c r="H5" s="18"/>
      <c r="I5" s="18"/>
      <c r="J5" s="18"/>
      <c r="K5" s="18"/>
      <c r="L5" s="18"/>
      <c r="M5" s="19"/>
      <c r="N5" s="19"/>
      <c r="O5" s="19"/>
      <c r="P5" s="19"/>
      <c r="Q5" s="19"/>
      <c r="R5" s="30"/>
      <c r="S5" s="30"/>
      <c r="T5" s="19"/>
      <c r="U5" s="19"/>
      <c r="V5" s="19"/>
      <c r="W5" s="19"/>
      <c r="X5" s="19"/>
      <c r="Y5" s="30"/>
      <c r="Z5" s="30"/>
      <c r="AA5" s="19"/>
      <c r="AB5" s="19"/>
      <c r="AC5" s="19"/>
      <c r="AD5" s="19"/>
      <c r="AE5" s="19"/>
      <c r="AF5" s="30"/>
      <c r="AG5" s="30"/>
      <c r="AH5" s="19"/>
      <c r="AI5" s="19"/>
      <c r="AJ5" s="19"/>
      <c r="AK5" s="19"/>
      <c r="AL5" s="19"/>
      <c r="AM5" s="30"/>
      <c r="AN5" s="30"/>
      <c r="AO5" s="19"/>
      <c r="AP5" s="19"/>
      <c r="AQ5" s="30"/>
      <c r="AR5" s="20">
        <f>COUNTIF(M5:AQ5,"f")</f>
        <v>0</v>
      </c>
      <c r="AS5" s="21" t="str">
        <f>IF(COUNTIF(M5:AQ5,"*")&gt;0,(COUNTIF(M5:AQ5,"A")+COUNTIF(M5:AQ5,"U"))*100/COUNTIF(M5:AQ5,"*"),"")</f>
        <v/>
      </c>
      <c r="AT5" s="21" t="str">
        <f>IF(COUNTIF(M5:AQ5,"*")&gt;0,COUNTIF(M5:AQ5,"F")*100/COUNTIF(M5:AQ5,"*"),"")</f>
        <v/>
      </c>
      <c r="AU5" s="21"/>
      <c r="AV5" s="21"/>
      <c r="AW5" s="21"/>
      <c r="AX5" s="25">
        <f>COUNTIF(M5:AQ5,"f")+(COUNTIF(M5:AQ5,"f 0,5")/2)</f>
        <v>0</v>
      </c>
      <c r="AY5" s="25">
        <f>COUNTIF(M5:AQ5,"k")</f>
        <v>0</v>
      </c>
      <c r="AZ5" s="25">
        <f>COUNTIF(M5:AQ5,"U")+(COUNTIF(M5:AQ5,"u 0,5")/2)</f>
        <v>0</v>
      </c>
      <c r="BA5" s="25">
        <f>COUNTIF(M5:AQ5,"A")</f>
        <v>0</v>
      </c>
      <c r="BB5" s="26">
        <f>$BB$2/21*AX5</f>
        <v>0</v>
      </c>
      <c r="BC5" s="21"/>
      <c r="BD5" s="21"/>
    </row>
    <row r="6" spans="1:56" ht="15.75" customHeight="1" x14ac:dyDescent="0.2">
      <c r="B6" s="11"/>
      <c r="C6" s="11"/>
      <c r="D6" s="11"/>
      <c r="E6" s="11"/>
      <c r="F6" s="11"/>
      <c r="G6" s="11"/>
      <c r="M6" s="10" t="s">
        <v>8</v>
      </c>
      <c r="N6" s="10"/>
      <c r="O6" s="10"/>
      <c r="P6" s="10"/>
      <c r="Q6" s="10"/>
      <c r="R6" s="10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0"/>
      <c r="AP6" s="12"/>
      <c r="AQ6" s="12"/>
      <c r="AR6" s="13"/>
    </row>
    <row r="7" spans="1:56" ht="23.1" customHeight="1" x14ac:dyDescent="0.2">
      <c r="M7" s="9" t="s">
        <v>6</v>
      </c>
      <c r="BB7" s="27">
        <f>SUM(BB3:BB6)</f>
        <v>0</v>
      </c>
    </row>
    <row r="8" spans="1:56" ht="27.95" customHeight="1" x14ac:dyDescent="0.2">
      <c r="AR8" s="3"/>
    </row>
    <row r="9" spans="1:56" ht="23.1" customHeight="1" x14ac:dyDescent="0.2">
      <c r="I9" t="s">
        <v>29</v>
      </c>
    </row>
    <row r="10" spans="1:56" ht="23.1" customHeight="1" x14ac:dyDescent="0.2">
      <c r="I10" t="s">
        <v>30</v>
      </c>
      <c r="J10" s="31" t="s">
        <v>31</v>
      </c>
      <c r="K10" t="s">
        <v>32</v>
      </c>
    </row>
    <row r="11" spans="1:56" ht="23.1" customHeight="1" x14ac:dyDescent="0.2">
      <c r="I11" t="s">
        <v>33</v>
      </c>
      <c r="J11" s="31" t="s">
        <v>31</v>
      </c>
      <c r="K11" t="s">
        <v>34</v>
      </c>
    </row>
    <row r="12" spans="1:56" ht="23.1" customHeight="1" x14ac:dyDescent="0.2">
      <c r="I12" t="s">
        <v>35</v>
      </c>
      <c r="J12" s="31" t="s">
        <v>31</v>
      </c>
      <c r="K12" t="s">
        <v>36</v>
      </c>
    </row>
    <row r="13" spans="1:56" ht="23.1" customHeight="1" x14ac:dyDescent="0.2">
      <c r="I13" t="s">
        <v>37</v>
      </c>
      <c r="J13" s="31" t="s">
        <v>31</v>
      </c>
      <c r="K13" t="s">
        <v>38</v>
      </c>
    </row>
    <row r="14" spans="1:56" ht="23.1" customHeight="1" x14ac:dyDescent="0.2">
      <c r="I14" t="s">
        <v>39</v>
      </c>
      <c r="J14" s="31" t="s">
        <v>31</v>
      </c>
      <c r="K14" t="s">
        <v>40</v>
      </c>
    </row>
    <row r="15" spans="1:56" ht="23.1" customHeight="1" x14ac:dyDescent="0.2">
      <c r="I15" t="s">
        <v>14</v>
      </c>
      <c r="J15" s="31" t="s">
        <v>31</v>
      </c>
      <c r="K15" t="s">
        <v>41</v>
      </c>
    </row>
    <row r="16" spans="1:56" ht="23.1" customHeight="1" x14ac:dyDescent="0.2">
      <c r="I16" t="s">
        <v>12</v>
      </c>
      <c r="J16" s="31" t="s">
        <v>31</v>
      </c>
      <c r="K16" t="s">
        <v>42</v>
      </c>
    </row>
    <row r="17" spans="9:26" ht="23.1" customHeight="1" x14ac:dyDescent="0.2">
      <c r="I17" t="s">
        <v>43</v>
      </c>
      <c r="J17" s="31" t="s">
        <v>31</v>
      </c>
      <c r="K17" t="s">
        <v>44</v>
      </c>
    </row>
    <row r="18" spans="9:26" ht="23.1" customHeight="1" x14ac:dyDescent="0.2">
      <c r="I18" t="s">
        <v>13</v>
      </c>
      <c r="J18" s="31" t="s">
        <v>31</v>
      </c>
      <c r="K18" t="s">
        <v>45</v>
      </c>
    </row>
    <row r="19" spans="9:26" ht="23.1" customHeight="1" x14ac:dyDescent="0.2">
      <c r="I19" t="s">
        <v>28</v>
      </c>
      <c r="J19" s="31" t="s">
        <v>31</v>
      </c>
      <c r="K19" t="s">
        <v>46</v>
      </c>
    </row>
    <row r="20" spans="9:26" ht="23.1" customHeight="1" x14ac:dyDescent="0.2">
      <c r="I20" t="s">
        <v>11</v>
      </c>
      <c r="J20" s="31" t="s">
        <v>31</v>
      </c>
      <c r="K20" t="s">
        <v>47</v>
      </c>
    </row>
    <row r="25" spans="9:26" ht="23.1" customHeight="1" x14ac:dyDescent="0.2">
      <c r="I25" t="s">
        <v>48</v>
      </c>
    </row>
    <row r="26" spans="9:26" ht="23.1" customHeight="1" x14ac:dyDescent="0.2">
      <c r="I26" t="s">
        <v>49</v>
      </c>
      <c r="R26" t="s">
        <v>50</v>
      </c>
      <c r="Z26" t="s">
        <v>51</v>
      </c>
    </row>
    <row r="27" spans="9:26" ht="23.1" customHeight="1" x14ac:dyDescent="0.2">
      <c r="I27" t="s">
        <v>26</v>
      </c>
      <c r="R27" t="s">
        <v>52</v>
      </c>
      <c r="Z27" t="s">
        <v>53</v>
      </c>
    </row>
    <row r="28" spans="9:26" ht="23.1" customHeight="1" x14ac:dyDescent="0.2">
      <c r="I28" t="s">
        <v>27</v>
      </c>
      <c r="R28" t="s">
        <v>54</v>
      </c>
      <c r="Z28" t="s">
        <v>55</v>
      </c>
    </row>
  </sheetData>
  <sheetProtection selectLockedCells="1"/>
  <mergeCells count="6">
    <mergeCell ref="B5:G5"/>
    <mergeCell ref="B2:G2"/>
    <mergeCell ref="S1:X1"/>
    <mergeCell ref="B3:G3"/>
    <mergeCell ref="AS1:AT1"/>
    <mergeCell ref="B4:G4"/>
  </mergeCells>
  <phoneticPr fontId="5" type="noConversion"/>
  <pageMargins left="0.27559055118110237" right="0.15748031496062992" top="0.27559055118110237" bottom="0.19685039370078741" header="0.15748031496062992" footer="0.15748031496062992"/>
  <pageSetup paperSize="9" pageOrder="overThenDown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Anwesenheit</vt:lpstr>
      <vt:lpstr>Anwesenheit!Drucktitel</vt:lpstr>
    </vt:vector>
  </TitlesOfParts>
  <Company>AZB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kj.schneider</dc:creator>
  <cp:lastModifiedBy>Amin Masri</cp:lastModifiedBy>
  <cp:lastPrinted>2014-01-29T12:35:10Z</cp:lastPrinted>
  <dcterms:created xsi:type="dcterms:W3CDTF">2004-01-16T11:52:13Z</dcterms:created>
  <dcterms:modified xsi:type="dcterms:W3CDTF">2025-11-25T13:10:56Z</dcterms:modified>
</cp:coreProperties>
</file>